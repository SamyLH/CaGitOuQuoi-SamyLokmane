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Cas de test" sheetId="2" state="visible" r:id="rId4"/>
    <sheet name="Synthèse" sheetId="3" state="visible" r:id="rId5"/>
  </sheets>
  <definedNames>
    <definedName function="false" hidden="true" localSheetId="1" name="_xlnm._FilterDatabase" vbProcedure="false">'Cas de test'!$A$1:$O$25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<sst xmlns="http://schemas.openxmlformats.org/spreadsheetml/2006/main" count="363" uniqueCount="244">
  <si>
    <t xml:space="preserve">QuickOrder — cas de test</t>
  </si>
  <si>
    <t xml:space="preserve">Carnet de campagne de Samy. Rédigé avant d'avoir ouvert l'appli.</t>
  </si>
  <si>
    <t xml:space="preserve">Cellules jaunes</t>
  </si>
  <si>
    <t xml:space="preserve">À remplir pendant l'exécution (résultat obtenu, statut, preuve, bug lié, date/testeur).</t>
  </si>
  <si>
    <t xml:space="preserve">Statuts</t>
  </si>
  <si>
    <t xml:space="preserve">À exécuter / Pass / Fail / Blocked / Skipped (liste déroulante). Un Blocked ou Skipped doit être justifié dans « Résultat obtenu ».</t>
  </si>
  <si>
    <t xml:space="preserve">[à confirmer]</t>
  </si>
  <si>
    <t xml:space="preserve">Donnée ou règle que je ne connais pas encore : à vérifier dans Swagger ou la doc de lancement, puis à corriger.</t>
  </si>
  <si>
    <t xml:space="preserve">Résultats attendus</t>
  </si>
  <si>
    <t xml:space="preserve">Écrits avant d'avoir vu l'appli, d'après la logique d'une app de livraison. Ils se corrigent si la spec dit autre chose.</t>
  </si>
  <si>
    <t xml:space="preserve">Colonne Risque</t>
  </si>
  <si>
    <t xml:space="preserve">Renvoie à risk-matrix.md (R1 à R12).</t>
  </si>
  <si>
    <t xml:space="preserve">Synthèse</t>
  </si>
  <si>
    <t xml:space="preserve">Les chiffres se calculent seuls à partir de la colonne Statut. Rien à saisir sauf les deux cellules bleues du verdict.</t>
  </si>
  <si>
    <t xml:space="preserve">Exemple de ligne remplie (format attendu — ce n'est PAS un cas réel)</t>
  </si>
  <si>
    <t xml:space="preserve">ID</t>
  </si>
  <si>
    <t xml:space="preserve">Résultat obtenu</t>
  </si>
  <si>
    <t xml:space="preserve">Statut</t>
  </si>
  <si>
    <t xml:space="preserve">Preuve</t>
  </si>
  <si>
    <t xml:space="preserve">Bug lié</t>
  </si>
  <si>
    <t xml:space="preserve">Date / testeur</t>
  </si>
  <si>
    <t xml:space="preserve">EXEMPLE-00</t>
  </si>
  <si>
    <t xml:space="preserve">Total affiché 12,40 € au lieu de 12,41 € attendu (arrondi perdu)</t>
  </si>
  <si>
    <t xml:space="preserve">Fail</t>
  </si>
  <si>
    <t xml:space="preserve">evidence/BUG-001/total.png</t>
  </si>
  <si>
    <t xml:space="preserve">BUG-001</t>
  </si>
  <si>
    <t xml:space="preserve">12/10/2026 — Samy</t>
  </si>
  <si>
    <t xml:space="preserve">Catégorie</t>
  </si>
  <si>
    <t xml:space="preserve">Canal</t>
  </si>
  <si>
    <t xml:space="preserve">Titre</t>
  </si>
  <si>
    <t xml:space="preserve">Objectif</t>
  </si>
  <si>
    <t xml:space="preserve">Préconditions</t>
  </si>
  <si>
    <t xml:space="preserve">Données</t>
  </si>
  <si>
    <t xml:space="preserve">Étapes</t>
  </si>
  <si>
    <t xml:space="preserve">Résultat attendu</t>
  </si>
  <si>
    <t xml:space="preserve">Risque</t>
  </si>
  <si>
    <t xml:space="preserve">NOM-01</t>
  </si>
  <si>
    <t xml:space="preserve">Nominal</t>
  </si>
  <si>
    <t xml:space="preserve">UI</t>
  </si>
  <si>
    <t xml:space="preserve">Connexion avec un compte client valide</t>
  </si>
  <si>
    <t xml:space="preserve">Vérifier qu'un client existant peut se connecter</t>
  </si>
  <si>
    <t xml:space="preserve">Appli lancée (base seedée) ; http://127.0.0.1:5000 accessible</t>
  </si>
  <si>
    <t xml:space="preserve">alice@example.com / Password123!</t>
  </si>
  <si>
    <t xml:space="preserve">1. Ouvrir http://127.0.0.1:5000
2. Aller à la connexion
3. Saisir les identifiants
4. Valider</t>
  </si>
  <si>
    <t xml:space="preserve">Accès à l'espace connecté, identité visible, aucune erreur rouge en console DevTools</t>
  </si>
  <si>
    <t xml:space="preserve">R5</t>
  </si>
  <si>
    <t xml:space="preserve">Skipped</t>
  </si>
  <si>
    <t xml:space="preserve">NOM-02</t>
  </si>
  <si>
    <t xml:space="preserve">Parcourir les restaurants et ouvrir un menu</t>
  </si>
  <si>
    <t xml:space="preserve">Vérifier la consultation du catalogue</t>
  </si>
  <si>
    <t xml:space="preserve">Appli lancée ; connecté ou non (noter les deux)</t>
  </si>
  <si>
    <t xml:space="preserve">Premier restaurant de la liste</t>
  </si>
  <si>
    <t xml:space="preserve">1. Ouvrir la liste des restaurants
2. Cliquer sur un restaurant
3. Lire le menu
4. Onglet Network : relever les codes HTTP</t>
  </si>
  <si>
    <t xml:space="preserve">Liste et menu affichés avec noms et prix lisibles ; pas de requête en 4xx/5xx</t>
  </si>
  <si>
    <t xml:space="preserve">R12</t>
  </si>
  <si>
    <t xml:space="preserve">PARTIEL. Liste de 6 restaurants affichée, console DevTools vide. Menu non ouvert, onglet Network non relevé. Non terminé : pas de Pass.</t>
  </si>
  <si>
    <t xml:space="preserve">NOM-03</t>
  </si>
  <si>
    <t xml:space="preserve">Ajouter deux produits au panier : le total est juste</t>
  </si>
  <si>
    <t xml:space="preserve">Vérifier le calcul du sous-total</t>
  </si>
  <si>
    <t xml:space="preserve">Connecté en alice ; restaurant ouvert</t>
  </si>
  <si>
    <t xml:space="preserve">2 produits différents, quantité 1 chacun</t>
  </si>
  <si>
    <t xml:space="preserve">1. Ajouter produit A
2. Ajouter produit B
3. Ouvrir le panier
4. Comparer le total à la somme des prix du menu (calcul à la main)</t>
  </si>
  <si>
    <t xml:space="preserve">Sous-total = prix A + prix B ; frais et réductions éventuels affichés séparément</t>
  </si>
  <si>
    <t xml:space="preserve">R1</t>
  </si>
  <si>
    <t xml:space="preserve">NOM-04</t>
  </si>
  <si>
    <t xml:space="preserve">Passer une commande complète (checkout)</t>
  </si>
  <si>
    <t xml:space="preserve">Valider le parcours critique P1 de bout en bout</t>
  </si>
  <si>
    <t xml:space="preserve">Connecté en alice ; panier au-dessus du minimum de commande</t>
  </si>
  <si>
    <t xml:space="preserve">Paiement carte (payment_method = card)</t>
  </si>
  <si>
    <t xml:space="preserve">1. Ouvrir le panier
2. Lancer le checkout
3. Choisir carte
4. Valider
5. Lire la confirmation</t>
  </si>
  <si>
    <t xml:space="preserve">Confirmation avec numéro et montant ; commande visible dans l'historique ; stock du produit diminué si géré</t>
  </si>
  <si>
    <t xml:space="preserve">R3</t>
  </si>
  <si>
    <t xml:space="preserve">NOM-05</t>
  </si>
  <si>
    <t xml:space="preserve">API</t>
  </si>
  <si>
    <t xml:space="preserve">Health puis liste des restaurants</t>
  </si>
  <si>
    <t xml:space="preserve">Vérifier un GET public et un GET authentifié</t>
  </si>
  <si>
    <t xml:space="preserve">Swagger (/docs/) ou collection Postman importée ; clé quickorder-demo-key</t>
  </si>
  <si>
    <t xml:space="preserve">GET /api/health (sans clé) ; GET /api/restaurants ; GET /api/restaurants/1 ; GET /api/restaurants?q=pizza&amp;min_rating=4 ; GET /api/restaurants?category=&lt;une catégorie vue dans la liste&gt;</t>
  </si>
  <si>
    <t xml:space="preserve">1. GET /api/health sans clé
2. GET /api/restaurants avec X-API-Key
3. GET /api/restaurants/1
4. Rejouer la liste avec q, min_rating puis category
5. Vérifier que chaque résultat respecte le filtre</t>
  </si>
  <si>
    <t xml:space="preserve">Health : 200 sans clé. Liste et détail : 200, JSON avec id, name, category, delivery_fee, minimum_order, delivery_time_min, rating, is_open. Filtres respectés (note ≥ 4, nom/catégorie correspondants)</t>
  </si>
  <si>
    <t xml:space="preserve">R2</t>
  </si>
  <si>
    <t xml:space="preserve">PARTIEL. GET /health sans clé : 200 (status ok). GET /restaurants avec clé : JSON, count 6, champs conformes à OpenAPI. GET /restaurants/1 : Burger Factory, identique à la liste. Filtres q, min_rating, category non testés. Non terminé : pas de Pass.</t>
  </si>
  <si>
    <t xml:space="preserve">NOM-06</t>
  </si>
  <si>
    <t xml:space="preserve">Créer une commande puis la relire (API ↔ UI)</t>
  </si>
  <si>
    <t xml:space="preserve">Vérifier POST /orders, GET /orders/{id} et la cohérence avec l'UI</t>
  </si>
  <si>
    <t xml:space="preserve">Clé API (compte API = alice) ; product_id 1 existe et est en stock</t>
  </si>
  <si>
    <t xml:space="preserve">POST /api/orders {"items":[{"product_id":1,"quantity":1}],"payment_method":"card"}</t>
  </si>
  <si>
    <t xml:space="preserve">1. POST /orders
2. Noter l'id renvoyé
3. GET /orders/{id}
4. GET /orders (liste)
5. Se connecter en alice dans l'UI et retrouver la commande</t>
  </si>
  <si>
    <t xml:space="preserve">201 avec id de commande (code documenté dans OpenAPI) ; GET /orders/{id} renvoie les mêmes données ; la commande est dans GET /orders et dans l'UI avec les mêmes montants</t>
  </si>
  <si>
    <t xml:space="preserve">R9</t>
  </si>
  <si>
    <t xml:space="preserve">LIM-01</t>
  </si>
  <si>
    <t xml:space="preserve">Limite</t>
  </si>
  <si>
    <t xml:space="preserve">Quantité 0, 1 et négative</t>
  </si>
  <si>
    <t xml:space="preserve">Vérifier la borne basse de quantité (OpenAPI : minimum 1)</t>
  </si>
  <si>
    <t xml:space="preserve">Clé API configurée ; produit en stock</t>
  </si>
  <si>
    <t xml:space="preserve">quantity : 1, 0, -1, -100</t>
  </si>
  <si>
    <t xml:space="preserve">1. POST /orders avec quantity = 1
2. Idem avec 0
3. Idem avec -1
4. Idem avec -100
5. Vérifier aussi dans l'UI (champ quantité du panier)</t>
  </si>
  <si>
    <t xml:space="preserve">1 accepté (201) ; 0, -1 et -100 refusés (400 attendu) avec message ; aucun total négatif ni commande créée</t>
  </si>
  <si>
    <t xml:space="preserve">R7</t>
  </si>
  <si>
    <t xml:space="preserve">LIM-02</t>
  </si>
  <si>
    <t xml:space="preserve">Quantité maximale (20 d'après OpenAPI) et stock</t>
  </si>
  <si>
    <t xml:space="preserve">Vérifier la borne haute de quantité et la gestion du stock</t>
  </si>
  <si>
    <t xml:space="preserve">Un produit au stock connu (GET /api/products/{id}) ; un produit indisponible si existant [à relever]</t>
  </si>
  <si>
    <t xml:space="preserve">quantity = 20, 21, 100, 1000, 1.5 ; quantity = stock, stock+1 ; produit indisponible</t>
  </si>
  <si>
    <t xml:space="preserve">1. POST /orders avec quantity = 20, puis 21
2. Idem avec 1.5 et "abc"
3. Lire le stock du produit, commander stock puis stock+1
4. Commander un produit indisponible
5. Relire le stock après chaque commande</t>
  </si>
  <si>
    <t xml:space="preserve">20 accepté ; 21 et au-delà refusés (400) ; décimal refusé ; stock insuffisant ou produit indisponible refusé (409 d'après OpenAPI) ; stock jamais négatif</t>
  </si>
  <si>
    <t xml:space="preserve">R8</t>
  </si>
  <si>
    <t xml:space="preserve">LIM-03</t>
  </si>
  <si>
    <t xml:space="preserve">UI+API</t>
  </si>
  <si>
    <t xml:space="preserve">Minimum de commande : seuil −0,01 / seuil / +0,01</t>
  </si>
  <si>
    <t xml:space="preserve">Vérifier l'absence d'erreur d'une unité à la borne</t>
  </si>
  <si>
    <t xml:space="preserve">minimum_order du restaurant lu via GET /api/restaurants</t>
  </si>
  <si>
    <t xml:space="preserve">Paniers dont le sous-total vaut minimum_order −0,01, minimum_order, +0,01 (ajuster produits / quantités)</t>
  </si>
  <si>
    <t xml:space="preserve">1. Construire chaque panier
2. Tenter de commander (UI puis API)
3. Comparer UI et API</t>
  </si>
  <si>
    <t xml:space="preserve">Refus sous le minimum avec message (code à noter : 400 attendu, non documenté dans OpenAPI) ; acceptation à partir du minimum (règle « ≥ » à vérifier) ; UI et API cohérentes</t>
  </si>
  <si>
    <t xml:space="preserve">R10</t>
  </si>
  <si>
    <t xml:space="preserve">LIM-04</t>
  </si>
  <si>
    <t xml:space="preserve">Coupon : bornes du subtotal, minimum et plafond de réduction</t>
  </si>
  <si>
    <t xml:space="preserve">Vérifier les bornes de /coupons/validate, un subtotal trafiqué et le plafond de réduction</t>
  </si>
  <si>
    <t xml:space="preserve">Clé API ; coupon WELCOME10 (pourcentage, minimum et plafond à relever dans les réponses ou l'UI)</t>
  </si>
  <si>
    <t xml:space="preserve">POST /api/coupons/validate {"code":"WELCOME10","subtotal": X} avec X = 0, -5, 0.01, minimum−0.01, minimum, 32.50, 100, 999999, "abc"</t>
  </si>
  <si>
    <t xml:space="preserve">1. Envoyer chaque valeur de subtotal
2. Noter code HTTP, corps et réduction calculée
3. Comparer avec un calcul manuel (pourcentage puis plafond)</t>
  </si>
  <si>
    <t xml:space="preserve">OpenAPI : subtotal ≥ 0. Négatif et texte refusés ; sous le minimum : refus clair ; réduction exacte aux bornes ; plafonnée pour un gros subtotal ; jamais supérieure au subtotal ; pas de 500</t>
  </si>
  <si>
    <t xml:space="preserve">R4</t>
  </si>
  <si>
    <t xml:space="preserve">LIM-05</t>
  </si>
  <si>
    <t xml:space="preserve">Arrondi du total avec prix décimaux</t>
  </si>
  <si>
    <t xml:space="preserve">Vérifier que le centime ne se perd pas</t>
  </si>
  <si>
    <t xml:space="preserve">Connecté ; produits à prix décimaux</t>
  </si>
  <si>
    <t xml:space="preserve">3 produits à prix décimaux ; avec et sans WELCOME10</t>
  </si>
  <si>
    <t xml:space="preserve">1. Ajouter les produits
2. Calculer le total à la main (sous-total, réduction, frais)
3. Comparer panier, confirmation, historique, GET /orders/{id}</t>
  </si>
  <si>
    <t xml:space="preserve">Même total, arrondi cohérent au centime, aux quatre endroits</t>
  </si>
  <si>
    <t xml:space="preserve">LIM-06</t>
  </si>
  <si>
    <t xml:space="preserve">Paiement cash : montant reçu aux bornes ; PayPal</t>
  </si>
  <si>
    <t xml:space="preserve">Vérifier la règle du montant reçu en espèces et observer PayPal</t>
  </si>
  <si>
    <t xml:space="preserve">Clé API ; total d'une commande connu</t>
  </si>
  <si>
    <t xml:space="preserve">payment_method = cash avec cash_received = total−0.01, total, total+0.01, 0, -5, 1, absent ; payment_method = paypal ; payment_method = bitcoin</t>
  </si>
  <si>
    <t xml:space="preserve">1. POST /orders avec payment_method = cash et chaque valeur de cash_received
2. POST /orders avec payment_method = paypal
3. Noter code HTTP, message, et si une commande est créée</t>
  </si>
  <si>
    <t xml:space="preserve">cash_received &lt; total ou absent : refus (400 attendu) ; ≥ total accepté, rendu de monnaie correct s'il existe ; paypal : comportement à relever et à comparer à la doc ; méthode hors enum (card, paypal, cash) refusée</t>
  </si>
  <si>
    <t xml:space="preserve">ERR-01</t>
  </si>
  <si>
    <t xml:space="preserve">Erreur</t>
  </si>
  <si>
    <t xml:space="preserve">Connexion avec mauvais mot de passe / compte inexistant</t>
  </si>
  <si>
    <t xml:space="preserve">Vérifier le message et l'absence de fuite d'information</t>
  </si>
  <si>
    <t xml:space="preserve">Compte alice connu</t>
  </si>
  <si>
    <t xml:space="preserve">alice@example.com + mauvais mot de passe ; inconnu@example.com + n'importe quoi</t>
  </si>
  <si>
    <t xml:space="preserve">1. Saisir alice + mauvais mot de passe
2. Saisir un compte inexistant
3. Comparer les messages</t>
  </si>
  <si>
    <t xml:space="preserve">Refus ; message identique et non technique dans les deux cas ; aucune session ouverte</t>
  </si>
  <si>
    <t xml:space="preserve">ERR-02</t>
  </si>
  <si>
    <t xml:space="preserve">API sans clé, clé vide ou clé fausse</t>
  </si>
  <si>
    <t xml:space="preserve">Vérifier la protection de l'API</t>
  </si>
  <si>
    <t xml:space="preserve">Endpoints connus</t>
  </si>
  <si>
    <t xml:space="preserve">GET /api/restaurants, GET /api/orders, POST /api/orders sans X-API-Key ; clé vide ; clé fausse</t>
  </si>
  <si>
    <t xml:space="preserve">1. Rejouer chaque appel sans clé (Postman/Bruno, ou Swagger sans Authorize)
2. Clé vide
3. Clé fausse (ex. quickorder-demo-keyX)</t>
  </si>
  <si>
    <t xml:space="preserve">401 ou 403, corps JSON explicite, aucune donnée renvoyée ; /api/health reste accessible (à confirmer)</t>
  </si>
  <si>
    <t xml:space="preserve">ERR-03</t>
  </si>
  <si>
    <t xml:space="preserve">Identifiants inexistants ou mal formés</t>
  </si>
  <si>
    <t xml:space="preserve">Vérifier la gestion des ressources absentes</t>
  </si>
  <si>
    <t xml:space="preserve">Clé API configurée</t>
  </si>
  <si>
    <t xml:space="preserve">/api/restaurants/999999 ; /api/products/999999 ; /api/restaurants/999999/products ; /api/orders/999999 ; ids -1 et abc</t>
  </si>
  <si>
    <t xml:space="preserve">1. Appeler chaque URL
2. Relever code HTTP et corps</t>
  </si>
  <si>
    <t xml:space="preserve">404 attendu pour une ressource inexistante (OpenAPI le documente seulement pour /restaurants/{id}) ; relever ce que renvoient les autres routes ; JSON propre et homogène, aucune trace technique</t>
  </si>
  <si>
    <t xml:space="preserve">PARTIEL. GET /restaurants/999 : « not found » (code HTTP à confirmer). /products/999, /restaurants/999/products, /orders/999 non testés. Non terminé.</t>
  </si>
  <si>
    <t xml:space="preserve">ERR-04</t>
  </si>
  <si>
    <t xml:space="preserve">POST /orders avec corps invalide</t>
  </si>
  <si>
    <t xml:space="preserve">Vérifier la validation des entrées API</t>
  </si>
  <si>
    <t xml:space="preserve">Corps vide ; JSON cassé ; items absent ; items = [] ; quantity = "deux" ; product_id inexistant ; payment_method = "bitcoin" ; items de deux restaurants différents</t>
  </si>
  <si>
    <t xml:space="preserve">1. Envoyer chaque corps
2. Relever code et message
3. Vérifier qu'aucune commande n'a été créée (GET /orders)</t>
  </si>
  <si>
    <t xml:space="preserve">400 attendu (OpenAPI) avec le champ fautif identifié ; jamais 500 ni 201 ; aucune commande créée ; panier multi-restaurants refusé (l'appli est mono-restaurant)</t>
  </si>
  <si>
    <t xml:space="preserve">ERR-05</t>
  </si>
  <si>
    <t xml:space="preserve">Commande avec panier vide</t>
  </si>
  <si>
    <t xml:space="preserve">Vérifier que la commande vide est impossible</t>
  </si>
  <si>
    <t xml:space="preserve">Connecté en alice ; panier vide</t>
  </si>
  <si>
    <t xml:space="preserve">UI : panier vide ; API : items = []</t>
  </si>
  <si>
    <t xml:space="preserve">1. Aller au panier vide, tenter de lancer le checkout (bouton, URL directe)
2. POST /orders avec items = []</t>
  </si>
  <si>
    <t xml:space="preserve">Refus avec message ; aucune commande créée dans les deux cas</t>
  </si>
  <si>
    <t xml:space="preserve">ERR-06</t>
  </si>
  <si>
    <t xml:space="preserve">Saisie hostile dans les champs texte et paramètres</t>
  </si>
  <si>
    <t xml:space="preserve">Vérifier l'échappement des entrées (vérification de base)</t>
  </si>
  <si>
    <t xml:space="preserve">Champs texte accessibles (connexion, recherche, éventuel commentaire)</t>
  </si>
  <si>
    <t xml:space="preserve">&lt;script&gt;alert(1)&lt;/script&gt; ; ' OR 1=1-- ; &lt;b&gt;gras&lt;/b&gt; ; ?q=' OR 1=1-- sur /api/restaurants</t>
  </si>
  <si>
    <t xml:space="preserve">1. Saisir chaque chaîne dans les champs de l'UI
2. Appeler GET /api/restaurants?q=&lt;chaîne&gt;
3. Relire là où le texte réapparaît</t>
  </si>
  <si>
    <t xml:space="preserve">Texte affiché littéralement, aucun script exécuté, aucune erreur 500, aucun résultat inattendu</t>
  </si>
  <si>
    <t xml:space="preserve">REG-01</t>
  </si>
  <si>
    <t xml:space="preserve">Règle métier</t>
  </si>
  <si>
    <t xml:space="preserve">Coupon WELCOME10 valide</t>
  </si>
  <si>
    <t xml:space="preserve">Vérifier la réduction et son application à la commande</t>
  </si>
  <si>
    <t xml:space="preserve">Panier ≥ minimum du coupon ; connecté en alice</t>
  </si>
  <si>
    <t xml:space="preserve">Code WELCOME10 ; subtotal 32.50 (exemple de la doc)</t>
  </si>
  <si>
    <t xml:space="preserve">1. POST /coupons/validate {"code":"WELCOME10","subtotal":32.50}
2. POST /orders avec "coupon":"WELCOME10"
3. Comparer la réduction avec un calcul manuel
4. Vérifier dans l'UI</t>
  </si>
  <si>
    <t xml:space="preserve">Réduction conforme à la règle, appliquée une seule fois, identique entre validate, commande et UI</t>
  </si>
  <si>
    <t xml:space="preserve">REG-02</t>
  </si>
  <si>
    <t xml:space="preserve">Coupon expiré, inconnu, minimum non atteint, réutilisé</t>
  </si>
  <si>
    <t xml:space="preserve">Vérifier le refus des coupons invalides</t>
  </si>
  <si>
    <t xml:space="preserve">Coupon expiré [code à trouver dans l'UI / la base de démo] ; panier sous le minimum</t>
  </si>
  <si>
    <t xml:space="preserve">Code expiré [à relever] ; code inventé ; WELCOME10 sous le minimum ; WELCOME10 réutilisé ; casse (welcome10)</t>
  </si>
  <si>
    <t xml:space="preserve">1. POST /coupons/validate pour chaque cas
2. Tenter la création de commande avec ces codes
3. Comparer validate et orders</t>
  </si>
  <si>
    <t xml:space="preserve">Coupon inexistant ou expiré : 404 (OpenAPI). Minimum non atteint : relever le code (200 « traité » ? 400 ?) et lire le corps pour voir s'il dit clairement que le coupon n'est pas appliqué. Pas de double réduction ; même règle dans validate et dans orders</t>
  </si>
  <si>
    <t xml:space="preserve">REG-03</t>
  </si>
  <si>
    <t xml:space="preserve">Frais de livraison et seuil de gratuité</t>
  </si>
  <si>
    <t xml:space="preserve">Vérifier le calcul des frais</t>
  </si>
  <si>
    <t xml:space="preserve">Règle des frais lue dans l'UI ou la réponse API [à confirmer]</t>
  </si>
  <si>
    <t xml:space="preserve">Paniers sous / à / au-dessus du seuil éventuel de gratuité</t>
  </si>
  <si>
    <t xml:space="preserve">1. Construire chaque panier
2. Relever les frais (UI et réponse API)
3. Comparer au calcul attendu</t>
  </si>
  <si>
    <t xml:space="preserve">Frais conformes à la règle à chaque borne, inclus dans le total final, identiques UI et API</t>
  </si>
  <si>
    <t xml:space="preserve">REG-04</t>
  </si>
  <si>
    <t xml:space="preserve">Restaurant fermé ou produit hors stock non commandable</t>
  </si>
  <si>
    <t xml:space="preserve">Vérifier que l'indisponible n'est pas commandable</t>
  </si>
  <si>
    <t xml:space="preserve">Un restaurant avec is_open = false et un produit indisponible repérés via GET /api/restaurants et /products</t>
  </si>
  <si>
    <t xml:space="preserve">Restaurant fermé ; produit hors stock</t>
  </si>
  <si>
    <t xml:space="preserve">1. Tenter d'ajouter l'article dans l'UI
2. POST /orders sur ce restaurant / ce produit
3. Comparer UI et API</t>
  </si>
  <si>
    <t xml:space="preserve">Restaurant fermé ou produit indisponible : refus dans l'UI et dans l'API (409 documenté pour produit indisponible) ; message clair ; aucune commande créée</t>
  </si>
  <si>
    <t xml:space="preserve">REG-05</t>
  </si>
  <si>
    <t xml:space="preserve">Annulation selon le statut + commande d'un autre utilisateur</t>
  </si>
  <si>
    <t xml:space="preserve">Vérifier la règle d'annulation et l'isolation entre comptes</t>
  </si>
  <si>
    <t xml:space="preserve">Commandes à différents statuts ; une commande de bob [à créer en UI avec bob]</t>
  </si>
  <si>
    <t xml:space="preserve">POST /api/orders/{id}/cancel : commande récente, commande avancée, déjà annulée, commande de bob avec la clé d'alice</t>
  </si>
  <si>
    <t xml:space="preserve">1. Annuler une commande récente
2. Annuler une commande avancée
3. Annuler deux fois
4. Annuler la commande de bob avec la clé d'alice
5. GET /orders : le statut est à jour ?</t>
  </si>
  <si>
    <t xml:space="preserve">Annulation OK au début (200) ; annulation impossible : 409 (OpenAPI) avec message ; commande de bob : 403 attendu (documenté sur GET /orders/{id} ; relever le code sur cancel) ; statut mis à jour partout</t>
  </si>
  <si>
    <t xml:space="preserve">R6</t>
  </si>
  <si>
    <t xml:space="preserve">REG-06</t>
  </si>
  <si>
    <t xml:space="preserve">Même montant à tous les endroits</t>
  </si>
  <si>
    <t xml:space="preserve">Vérifier la cohérence panier ↔ confirmation ↔ historique ↔ API</t>
  </si>
  <si>
    <t xml:space="preserve">Une commande avec WELCOME10 et frais passée (cas NOM-04 / REG-01)</t>
  </si>
  <si>
    <t xml:space="preserve">La commande ci-dessus</t>
  </si>
  <si>
    <t xml:space="preserve">1. Noter le montant du panier
2. Celui de la confirmation
3. Celui de l'historique UI
4. Celui de GET /api/orders/{id}
5. Idem pour la réduction et les frais</t>
  </si>
  <si>
    <t xml:space="preserve">Sous-total, réduction, frais et total identiques aux quatre endroits</t>
  </si>
  <si>
    <t xml:space="preserve">je n'ai pas réussi je crois monsieur mdrr</t>
  </si>
  <si>
    <t xml:space="preserve">Synthèse de campagne</t>
  </si>
  <si>
    <t xml:space="preserve">Cas prévus</t>
  </si>
  <si>
    <t xml:space="preserve">À exécuter</t>
  </si>
  <si>
    <t xml:space="preserve">Pass</t>
  </si>
  <si>
    <t xml:space="preserve">Blocked</t>
  </si>
  <si>
    <t xml:space="preserve">Exécutés (Pass + Fail)</t>
  </si>
  <si>
    <t xml:space="preserve">Avancement (cas hors « À exécuter »)</t>
  </si>
  <si>
    <t xml:space="preserve">Taux de réussite (Pass / exécutés)</t>
  </si>
  <si>
    <t xml:space="preserve">Contrôle : somme des statuts = cas prévus</t>
  </si>
  <si>
    <t xml:space="preserve">Par catégorie</t>
  </si>
  <si>
    <t xml:space="preserve">Cas</t>
  </si>
  <si>
    <t xml:space="preserve">Total</t>
  </si>
  <si>
    <t xml:space="preserve">Aide à la décision Go / No-Go</t>
  </si>
  <si>
    <t xml:space="preserve">Bugs 🔥 Cramé ouverts (à saisir)</t>
  </si>
  <si>
    <t xml:space="preserve">Bugs 🥵 Brûlé ouverts (à saisir)</t>
  </si>
  <si>
    <t xml:space="preserve">Parcours P1/P2 en échec ? (1 = oui, 0 = non)</t>
  </si>
  <si>
    <t xml:space="preserve">Verdict automatique</t>
  </si>
  <si>
    <t xml:space="preserve">Hypothèses : règles de décision = celles de test-strategy.md §9 (choix de Samy, pas du brief). Le verdict est une aide ; la recommandation argumentée est dans execution-report.md.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</si>
</sst>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553D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8553D"/>
      <name val="Arial"/>
      <family val="0"/>
      <charset val="1"/>
    </font>
    <font>
      <b val="true"/>
      <sz val="11"/>
      <color rgb="FFF5EFE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A33"/>
        <bgColor rgb="FF333300"/>
      </patternFill>
    </fill>
    <fill>
      <patternFill patternType="solid">
        <fgColor rgb="FFFFF8CC"/>
        <bgColor rgb="FFF5EF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3A0"/>
      </left>
      <right style="thin">
        <color rgb="FFBBB3A0"/>
      </right>
      <top style="thin">
        <color rgb="FFBBB3A0"/>
      </top>
      <bottom style="thin">
        <color rgb="FFBBB3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2A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EFE0"/>
          <bgColor rgb="FF000000"/>
        </patternFill>
      </fill>
    </dxf>
    <dxf>
      <fill>
        <patternFill patternType="solid">
          <fgColor rgb="FFFFF8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C6E7C6"/>
        </patternFill>
      </fill>
    </dxf>
    <dxf>
      <fill>
        <patternFill>
          <bgColor rgb="FFF4B6B0"/>
        </patternFill>
      </fill>
    </dxf>
    <dxf>
      <fill>
        <patternFill>
          <bgColor rgb="FFFAD7A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5EF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3A0"/>
      <rgbColor rgb="FF808080"/>
      <rgbColor rgb="FF9999FF"/>
      <rgbColor rgb="FF993366"/>
      <rgbColor rgb="FFFFF8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7C6"/>
      <rgbColor rgb="FFFFFF99"/>
      <rgbColor rgb="FF99CCFF"/>
      <rgbColor rgb="FFF4B6B0"/>
      <rgbColor rgb="FFCC99FF"/>
      <rgbColor rgb="FFFAD7A0"/>
      <rgbColor rgb="FF3366FF"/>
      <rgbColor rgb="FF33CCCC"/>
      <rgbColor rgb="FF99CC00"/>
      <rgbColor rgb="FFFFCC00"/>
      <rgbColor rgb="FFFF9900"/>
      <rgbColor rgb="FFC8553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  <col collapsed="false" customWidth="true" hidden="false" outlineLevel="0" max="6" min="3" style="1" width="2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5" t="s">
        <v>3</v>
      </c>
    </row>
    <row r="5" customFormat="false" ht="26.25" hidden="false" customHeight="true" outlineLevel="0" collapsed="false">
      <c r="A5" s="4" t="s">
        <v>4</v>
      </c>
      <c r="B5" s="5" t="s">
        <v>5</v>
      </c>
    </row>
    <row r="6" customFormat="false" ht="26.25" hidden="false" customHeight="true" outlineLevel="0" collapsed="false">
      <c r="A6" s="4" t="s">
        <v>6</v>
      </c>
      <c r="B6" s="5" t="s">
        <v>7</v>
      </c>
    </row>
    <row r="7" customFormat="false" ht="26.2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26.25" hidden="false" customHeight="true" outlineLevel="0" collapsed="false">
      <c r="A9" s="4" t="s">
        <v>12</v>
      </c>
      <c r="B9" s="5" t="s">
        <v>13</v>
      </c>
    </row>
    <row r="11" customFormat="false" ht="15" hidden="false" customHeight="true" outlineLevel="0" collapsed="false">
      <c r="A11" s="6" t="s">
        <v>14</v>
      </c>
    </row>
    <row r="12" customFormat="false" ht="15" hidden="false" customHeight="true" outlineLevel="0" collapsed="false">
      <c r="A12" s="7" t="s">
        <v>15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20</v>
      </c>
    </row>
    <row r="13" customFormat="false" ht="26.25" hidden="false" customHeight="true" outlineLevel="0" collapsed="false">
      <c r="A13" s="8" t="s">
        <v>21</v>
      </c>
      <c r="B13" s="8" t="s">
        <v>22</v>
      </c>
      <c r="C13" s="8" t="s">
        <v>23</v>
      </c>
      <c r="D13" s="8" t="s">
        <v>24</v>
      </c>
      <c r="E13" s="8" t="s">
        <v>25</v>
      </c>
      <c r="F13" s="8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32"/>
    <col collapsed="false" customWidth="true" hidden="false" outlineLevel="0" max="7" min="5" style="1" width="30"/>
    <col collapsed="false" customWidth="true" hidden="false" outlineLevel="0" max="9" min="8" style="1" width="44"/>
    <col collapsed="false" customWidth="true" hidden="false" outlineLevel="0" max="10" min="10" style="1" width="8"/>
    <col collapsed="false" customWidth="true" hidden="false" outlineLevel="0" max="11" min="11" style="1" width="40"/>
    <col collapsed="false" customWidth="true" hidden="false" outlineLevel="0" max="12" min="12" style="1" width="13"/>
    <col collapsed="false" customWidth="true" hidden="false" outlineLevel="0" max="13" min="13" style="1" width="24"/>
    <col collapsed="false" customWidth="true" hidden="false" outlineLevel="0" max="14" min="14" style="1" width="11"/>
    <col collapsed="false" customWidth="true" hidden="false" outlineLevel="0" max="15" min="15" style="1" width="18"/>
  </cols>
  <sheetData>
    <row r="1" customFormat="false" ht="30" hidden="false" customHeight="true" outlineLevel="0" collapsed="false">
      <c r="A1" s="9" t="s">
        <v>15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9" t="s">
        <v>35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</row>
    <row r="2" customFormat="false" ht="91.5" hidden="false" customHeight="true" outlineLevel="0" collapsed="false">
      <c r="A2" s="10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1" t="s">
        <v>45</v>
      </c>
      <c r="K2" s="12"/>
      <c r="L2" s="12" t="s">
        <v>46</v>
      </c>
      <c r="M2" s="12"/>
      <c r="N2" s="12"/>
      <c r="O2" s="12" t="s">
        <v>26</v>
      </c>
    </row>
    <row r="3" customFormat="false" ht="91.5" hidden="false" customHeight="true" outlineLevel="0" collapsed="false">
      <c r="A3" s="10" t="s">
        <v>47</v>
      </c>
      <c r="B3" s="11" t="s">
        <v>37</v>
      </c>
      <c r="C3" s="11" t="s">
        <v>38</v>
      </c>
      <c r="D3" s="11" t="s">
        <v>48</v>
      </c>
      <c r="E3" s="11" t="s">
        <v>49</v>
      </c>
      <c r="F3" s="11" t="s">
        <v>50</v>
      </c>
      <c r="G3" s="11" t="s">
        <v>51</v>
      </c>
      <c r="H3" s="11" t="s">
        <v>52</v>
      </c>
      <c r="I3" s="11" t="s">
        <v>53</v>
      </c>
      <c r="J3" s="11" t="s">
        <v>54</v>
      </c>
      <c r="K3" s="12" t="s">
        <v>55</v>
      </c>
      <c r="L3" s="12" t="s">
        <v>46</v>
      </c>
      <c r="M3" s="12"/>
      <c r="N3" s="12"/>
      <c r="O3" s="12" t="s">
        <v>26</v>
      </c>
    </row>
    <row r="4" customFormat="false" ht="91.5" hidden="false" customHeight="true" outlineLevel="0" collapsed="false">
      <c r="A4" s="10" t="s">
        <v>56</v>
      </c>
      <c r="B4" s="11" t="s">
        <v>37</v>
      </c>
      <c r="C4" s="11" t="s">
        <v>38</v>
      </c>
      <c r="D4" s="11" t="s">
        <v>57</v>
      </c>
      <c r="E4" s="11" t="s">
        <v>58</v>
      </c>
      <c r="F4" s="11" t="s">
        <v>59</v>
      </c>
      <c r="G4" s="11" t="s">
        <v>60</v>
      </c>
      <c r="H4" s="11" t="s">
        <v>61</v>
      </c>
      <c r="I4" s="11" t="s">
        <v>62</v>
      </c>
      <c r="J4" s="11" t="s">
        <v>63</v>
      </c>
      <c r="K4" s="12"/>
      <c r="L4" s="12" t="s">
        <v>46</v>
      </c>
      <c r="M4" s="12"/>
      <c r="N4" s="12"/>
      <c r="O4" s="12" t="s">
        <v>26</v>
      </c>
    </row>
    <row r="5" customFormat="false" ht="91.5" hidden="false" customHeight="true" outlineLevel="0" collapsed="false">
      <c r="A5" s="10" t="s">
        <v>64</v>
      </c>
      <c r="B5" s="11" t="s">
        <v>37</v>
      </c>
      <c r="C5" s="11" t="s">
        <v>38</v>
      </c>
      <c r="D5" s="11" t="s">
        <v>65</v>
      </c>
      <c r="E5" s="11" t="s">
        <v>66</v>
      </c>
      <c r="F5" s="11" t="s">
        <v>67</v>
      </c>
      <c r="G5" s="11" t="s">
        <v>68</v>
      </c>
      <c r="H5" s="11" t="s">
        <v>69</v>
      </c>
      <c r="I5" s="11" t="s">
        <v>70</v>
      </c>
      <c r="J5" s="11" t="s">
        <v>71</v>
      </c>
      <c r="K5" s="12"/>
      <c r="L5" s="12" t="s">
        <v>46</v>
      </c>
      <c r="M5" s="12"/>
      <c r="N5" s="12"/>
      <c r="O5" s="12" t="s">
        <v>26</v>
      </c>
    </row>
    <row r="6" customFormat="false" ht="91.5" hidden="false" customHeight="true" outlineLevel="0" collapsed="false">
      <c r="A6" s="10" t="s">
        <v>72</v>
      </c>
      <c r="B6" s="11" t="s">
        <v>37</v>
      </c>
      <c r="C6" s="11" t="s">
        <v>73</v>
      </c>
      <c r="D6" s="11" t="s">
        <v>74</v>
      </c>
      <c r="E6" s="11" t="s">
        <v>75</v>
      </c>
      <c r="F6" s="11" t="s">
        <v>76</v>
      </c>
      <c r="G6" s="11" t="s">
        <v>77</v>
      </c>
      <c r="H6" s="11" t="s">
        <v>78</v>
      </c>
      <c r="I6" s="11" t="s">
        <v>79</v>
      </c>
      <c r="J6" s="11" t="s">
        <v>80</v>
      </c>
      <c r="K6" s="12" t="s">
        <v>81</v>
      </c>
      <c r="L6" s="12" t="s">
        <v>46</v>
      </c>
      <c r="M6" s="12"/>
      <c r="N6" s="12"/>
      <c r="O6" s="12" t="s">
        <v>26</v>
      </c>
    </row>
    <row r="7" customFormat="false" ht="91.5" hidden="false" customHeight="true" outlineLevel="0" collapsed="false">
      <c r="A7" s="10" t="s">
        <v>82</v>
      </c>
      <c r="B7" s="11" t="s">
        <v>37</v>
      </c>
      <c r="C7" s="11" t="s">
        <v>73</v>
      </c>
      <c r="D7" s="11" t="s">
        <v>83</v>
      </c>
      <c r="E7" s="11" t="s">
        <v>84</v>
      </c>
      <c r="F7" s="11" t="s">
        <v>85</v>
      </c>
      <c r="G7" s="11" t="s">
        <v>86</v>
      </c>
      <c r="H7" s="11" t="s">
        <v>87</v>
      </c>
      <c r="I7" s="11" t="s">
        <v>88</v>
      </c>
      <c r="J7" s="11" t="s">
        <v>89</v>
      </c>
      <c r="K7" s="12"/>
      <c r="L7" s="12" t="s">
        <v>46</v>
      </c>
      <c r="M7" s="12"/>
      <c r="N7" s="12"/>
      <c r="O7" s="12" t="s">
        <v>26</v>
      </c>
    </row>
    <row r="8" customFormat="false" ht="91.5" hidden="false" customHeight="true" outlineLevel="0" collapsed="false">
      <c r="A8" s="10" t="s">
        <v>90</v>
      </c>
      <c r="B8" s="11" t="s">
        <v>91</v>
      </c>
      <c r="C8" s="11" t="s">
        <v>73</v>
      </c>
      <c r="D8" s="11" t="s">
        <v>92</v>
      </c>
      <c r="E8" s="11" t="s">
        <v>93</v>
      </c>
      <c r="F8" s="11" t="s">
        <v>94</v>
      </c>
      <c r="G8" s="11" t="s">
        <v>95</v>
      </c>
      <c r="H8" s="11" t="s">
        <v>96</v>
      </c>
      <c r="I8" s="11" t="s">
        <v>97</v>
      </c>
      <c r="J8" s="11" t="s">
        <v>98</v>
      </c>
      <c r="K8" s="12"/>
      <c r="L8" s="12" t="s">
        <v>46</v>
      </c>
      <c r="M8" s="12"/>
      <c r="N8" s="12"/>
      <c r="O8" s="12" t="s">
        <v>26</v>
      </c>
    </row>
    <row r="9" customFormat="false" ht="91.5" hidden="false" customHeight="true" outlineLevel="0" collapsed="false">
      <c r="A9" s="10" t="s">
        <v>99</v>
      </c>
      <c r="B9" s="11" t="s">
        <v>91</v>
      </c>
      <c r="C9" s="11" t="s">
        <v>73</v>
      </c>
      <c r="D9" s="11" t="s">
        <v>100</v>
      </c>
      <c r="E9" s="11" t="s">
        <v>101</v>
      </c>
      <c r="F9" s="11" t="s">
        <v>102</v>
      </c>
      <c r="G9" s="11" t="s">
        <v>103</v>
      </c>
      <c r="H9" s="11" t="s">
        <v>104</v>
      </c>
      <c r="I9" s="11" t="s">
        <v>105</v>
      </c>
      <c r="J9" s="11" t="s">
        <v>106</v>
      </c>
      <c r="K9" s="12"/>
      <c r="L9" s="12" t="s">
        <v>46</v>
      </c>
      <c r="M9" s="12"/>
      <c r="N9" s="12"/>
      <c r="O9" s="12" t="s">
        <v>26</v>
      </c>
    </row>
    <row r="10" customFormat="false" ht="91.5" hidden="false" customHeight="true" outlineLevel="0" collapsed="false">
      <c r="A10" s="10" t="s">
        <v>107</v>
      </c>
      <c r="B10" s="11" t="s">
        <v>91</v>
      </c>
      <c r="C10" s="11" t="s">
        <v>108</v>
      </c>
      <c r="D10" s="11" t="s">
        <v>109</v>
      </c>
      <c r="E10" s="11" t="s">
        <v>110</v>
      </c>
      <c r="F10" s="11" t="s">
        <v>111</v>
      </c>
      <c r="G10" s="11" t="s">
        <v>112</v>
      </c>
      <c r="H10" s="11" t="s">
        <v>113</v>
      </c>
      <c r="I10" s="11" t="s">
        <v>114</v>
      </c>
      <c r="J10" s="11" t="s">
        <v>115</v>
      </c>
      <c r="K10" s="12"/>
      <c r="L10" s="12" t="s">
        <v>46</v>
      </c>
      <c r="M10" s="12"/>
      <c r="N10" s="12"/>
      <c r="O10" s="12" t="s">
        <v>26</v>
      </c>
    </row>
    <row r="11" customFormat="false" ht="91.5" hidden="false" customHeight="true" outlineLevel="0" collapsed="false">
      <c r="A11" s="10" t="s">
        <v>116</v>
      </c>
      <c r="B11" s="11" t="s">
        <v>91</v>
      </c>
      <c r="C11" s="11" t="s">
        <v>73</v>
      </c>
      <c r="D11" s="11" t="s">
        <v>117</v>
      </c>
      <c r="E11" s="11" t="s">
        <v>118</v>
      </c>
      <c r="F11" s="11" t="s">
        <v>119</v>
      </c>
      <c r="G11" s="11" t="s">
        <v>120</v>
      </c>
      <c r="H11" s="11" t="s">
        <v>121</v>
      </c>
      <c r="I11" s="11" t="s">
        <v>122</v>
      </c>
      <c r="J11" s="11" t="s">
        <v>123</v>
      </c>
      <c r="K11" s="12"/>
      <c r="L11" s="12" t="s">
        <v>46</v>
      </c>
      <c r="M11" s="12"/>
      <c r="N11" s="12"/>
      <c r="O11" s="12" t="s">
        <v>26</v>
      </c>
    </row>
    <row r="12" customFormat="false" ht="91.5" hidden="false" customHeight="true" outlineLevel="0" collapsed="false">
      <c r="A12" s="10" t="s">
        <v>124</v>
      </c>
      <c r="B12" s="11" t="s">
        <v>91</v>
      </c>
      <c r="C12" s="11" t="s">
        <v>108</v>
      </c>
      <c r="D12" s="11" t="s">
        <v>125</v>
      </c>
      <c r="E12" s="11" t="s">
        <v>126</v>
      </c>
      <c r="F12" s="11" t="s">
        <v>127</v>
      </c>
      <c r="G12" s="11" t="s">
        <v>128</v>
      </c>
      <c r="H12" s="11" t="s">
        <v>129</v>
      </c>
      <c r="I12" s="11" t="s">
        <v>130</v>
      </c>
      <c r="J12" s="11" t="s">
        <v>63</v>
      </c>
      <c r="K12" s="12"/>
      <c r="L12" s="12" t="s">
        <v>46</v>
      </c>
      <c r="M12" s="12"/>
      <c r="N12" s="12"/>
      <c r="O12" s="12" t="s">
        <v>26</v>
      </c>
    </row>
    <row r="13" customFormat="false" ht="91.5" hidden="false" customHeight="true" outlineLevel="0" collapsed="false">
      <c r="A13" s="10" t="s">
        <v>131</v>
      </c>
      <c r="B13" s="11" t="s">
        <v>91</v>
      </c>
      <c r="C13" s="11" t="s">
        <v>73</v>
      </c>
      <c r="D13" s="11" t="s">
        <v>132</v>
      </c>
      <c r="E13" s="11" t="s">
        <v>133</v>
      </c>
      <c r="F13" s="11" t="s">
        <v>134</v>
      </c>
      <c r="G13" s="11" t="s">
        <v>135</v>
      </c>
      <c r="H13" s="11" t="s">
        <v>136</v>
      </c>
      <c r="I13" s="11" t="s">
        <v>137</v>
      </c>
      <c r="J13" s="11" t="s">
        <v>71</v>
      </c>
      <c r="K13" s="12"/>
      <c r="L13" s="12" t="s">
        <v>46</v>
      </c>
      <c r="M13" s="12"/>
      <c r="N13" s="12"/>
      <c r="O13" s="12" t="s">
        <v>26</v>
      </c>
    </row>
    <row r="14" customFormat="false" ht="91.5" hidden="false" customHeight="true" outlineLevel="0" collapsed="false">
      <c r="A14" s="10" t="s">
        <v>138</v>
      </c>
      <c r="B14" s="11" t="s">
        <v>139</v>
      </c>
      <c r="C14" s="11" t="s">
        <v>38</v>
      </c>
      <c r="D14" s="11" t="s">
        <v>140</v>
      </c>
      <c r="E14" s="11" t="s">
        <v>141</v>
      </c>
      <c r="F14" s="11" t="s">
        <v>142</v>
      </c>
      <c r="G14" s="11" t="s">
        <v>143</v>
      </c>
      <c r="H14" s="11" t="s">
        <v>144</v>
      </c>
      <c r="I14" s="11" t="s">
        <v>145</v>
      </c>
      <c r="J14" s="11" t="s">
        <v>45</v>
      </c>
      <c r="K14" s="12"/>
      <c r="L14" s="12" t="s">
        <v>46</v>
      </c>
      <c r="M14" s="12"/>
      <c r="N14" s="12"/>
      <c r="O14" s="12" t="s">
        <v>26</v>
      </c>
    </row>
    <row r="15" customFormat="false" ht="91.5" hidden="false" customHeight="true" outlineLevel="0" collapsed="false">
      <c r="A15" s="10" t="s">
        <v>146</v>
      </c>
      <c r="B15" s="11" t="s">
        <v>139</v>
      </c>
      <c r="C15" s="11" t="s">
        <v>73</v>
      </c>
      <c r="D15" s="11" t="s">
        <v>147</v>
      </c>
      <c r="E15" s="11" t="s">
        <v>148</v>
      </c>
      <c r="F15" s="11" t="s">
        <v>149</v>
      </c>
      <c r="G15" s="11" t="s">
        <v>150</v>
      </c>
      <c r="H15" s="11" t="s">
        <v>151</v>
      </c>
      <c r="I15" s="11" t="s">
        <v>152</v>
      </c>
      <c r="J15" s="11" t="s">
        <v>80</v>
      </c>
      <c r="K15" s="12"/>
      <c r="L15" s="12" t="s">
        <v>46</v>
      </c>
      <c r="M15" s="12"/>
      <c r="N15" s="12"/>
      <c r="O15" s="12" t="s">
        <v>26</v>
      </c>
    </row>
    <row r="16" customFormat="false" ht="91.5" hidden="false" customHeight="true" outlineLevel="0" collapsed="false">
      <c r="A16" s="10" t="s">
        <v>153</v>
      </c>
      <c r="B16" s="11" t="s">
        <v>139</v>
      </c>
      <c r="C16" s="11" t="s">
        <v>73</v>
      </c>
      <c r="D16" s="11" t="s">
        <v>154</v>
      </c>
      <c r="E16" s="11" t="s">
        <v>155</v>
      </c>
      <c r="F16" s="11" t="s">
        <v>156</v>
      </c>
      <c r="G16" s="11" t="s">
        <v>157</v>
      </c>
      <c r="H16" s="11" t="s">
        <v>158</v>
      </c>
      <c r="I16" s="11" t="s">
        <v>159</v>
      </c>
      <c r="J16" s="11" t="s">
        <v>45</v>
      </c>
      <c r="K16" s="12" t="s">
        <v>160</v>
      </c>
      <c r="L16" s="12" t="s">
        <v>46</v>
      </c>
      <c r="M16" s="12"/>
      <c r="N16" s="12"/>
      <c r="O16" s="12" t="s">
        <v>26</v>
      </c>
    </row>
    <row r="17" customFormat="false" ht="91.5" hidden="false" customHeight="true" outlineLevel="0" collapsed="false">
      <c r="A17" s="10" t="s">
        <v>161</v>
      </c>
      <c r="B17" s="11" t="s">
        <v>139</v>
      </c>
      <c r="C17" s="11" t="s">
        <v>73</v>
      </c>
      <c r="D17" s="11" t="s">
        <v>162</v>
      </c>
      <c r="E17" s="11" t="s">
        <v>163</v>
      </c>
      <c r="F17" s="11" t="s">
        <v>156</v>
      </c>
      <c r="G17" s="11" t="s">
        <v>164</v>
      </c>
      <c r="H17" s="11" t="s">
        <v>165</v>
      </c>
      <c r="I17" s="11" t="s">
        <v>166</v>
      </c>
      <c r="J17" s="11" t="s">
        <v>45</v>
      </c>
      <c r="K17" s="12"/>
      <c r="L17" s="12" t="s">
        <v>46</v>
      </c>
      <c r="M17" s="12"/>
      <c r="N17" s="12"/>
      <c r="O17" s="12" t="s">
        <v>26</v>
      </c>
    </row>
    <row r="18" customFormat="false" ht="91.5" hidden="false" customHeight="true" outlineLevel="0" collapsed="false">
      <c r="A18" s="10" t="s">
        <v>167</v>
      </c>
      <c r="B18" s="11" t="s">
        <v>139</v>
      </c>
      <c r="C18" s="11" t="s">
        <v>108</v>
      </c>
      <c r="D18" s="11" t="s">
        <v>168</v>
      </c>
      <c r="E18" s="11" t="s">
        <v>169</v>
      </c>
      <c r="F18" s="11" t="s">
        <v>170</v>
      </c>
      <c r="G18" s="11" t="s">
        <v>171</v>
      </c>
      <c r="H18" s="11" t="s">
        <v>172</v>
      </c>
      <c r="I18" s="11" t="s">
        <v>173</v>
      </c>
      <c r="J18" s="11" t="s">
        <v>71</v>
      </c>
      <c r="K18" s="12"/>
      <c r="L18" s="12" t="s">
        <v>46</v>
      </c>
      <c r="M18" s="12"/>
      <c r="N18" s="12"/>
      <c r="O18" s="12" t="s">
        <v>26</v>
      </c>
    </row>
    <row r="19" customFormat="false" ht="91.5" hidden="false" customHeight="true" outlineLevel="0" collapsed="false">
      <c r="A19" s="10" t="s">
        <v>174</v>
      </c>
      <c r="B19" s="11" t="s">
        <v>139</v>
      </c>
      <c r="C19" s="11" t="s">
        <v>108</v>
      </c>
      <c r="D19" s="11" t="s">
        <v>175</v>
      </c>
      <c r="E19" s="11" t="s">
        <v>176</v>
      </c>
      <c r="F19" s="11" t="s">
        <v>177</v>
      </c>
      <c r="G19" s="11" t="s">
        <v>178</v>
      </c>
      <c r="H19" s="11" t="s">
        <v>179</v>
      </c>
      <c r="I19" s="11" t="s">
        <v>180</v>
      </c>
      <c r="J19" s="11" t="s">
        <v>98</v>
      </c>
      <c r="K19" s="12"/>
      <c r="L19" s="12" t="s">
        <v>46</v>
      </c>
      <c r="M19" s="12"/>
      <c r="N19" s="12"/>
      <c r="O19" s="12" t="s">
        <v>26</v>
      </c>
    </row>
    <row r="20" customFormat="false" ht="91.5" hidden="false" customHeight="true" outlineLevel="0" collapsed="false">
      <c r="A20" s="10" t="s">
        <v>181</v>
      </c>
      <c r="B20" s="11" t="s">
        <v>182</v>
      </c>
      <c r="C20" s="11" t="s">
        <v>108</v>
      </c>
      <c r="D20" s="11" t="s">
        <v>183</v>
      </c>
      <c r="E20" s="11" t="s">
        <v>184</v>
      </c>
      <c r="F20" s="11" t="s">
        <v>185</v>
      </c>
      <c r="G20" s="11" t="s">
        <v>186</v>
      </c>
      <c r="H20" s="11" t="s">
        <v>187</v>
      </c>
      <c r="I20" s="11" t="s">
        <v>188</v>
      </c>
      <c r="J20" s="11" t="s">
        <v>123</v>
      </c>
      <c r="K20" s="12"/>
      <c r="L20" s="12" t="s">
        <v>46</v>
      </c>
      <c r="M20" s="12"/>
      <c r="N20" s="12"/>
      <c r="O20" s="12" t="s">
        <v>26</v>
      </c>
    </row>
    <row r="21" customFormat="false" ht="91.5" hidden="false" customHeight="true" outlineLevel="0" collapsed="false">
      <c r="A21" s="10" t="s">
        <v>189</v>
      </c>
      <c r="B21" s="11" t="s">
        <v>182</v>
      </c>
      <c r="C21" s="11" t="s">
        <v>73</v>
      </c>
      <c r="D21" s="11" t="s">
        <v>190</v>
      </c>
      <c r="E21" s="11" t="s">
        <v>191</v>
      </c>
      <c r="F21" s="11" t="s">
        <v>192</v>
      </c>
      <c r="G21" s="11" t="s">
        <v>193</v>
      </c>
      <c r="H21" s="11" t="s">
        <v>194</v>
      </c>
      <c r="I21" s="11" t="s">
        <v>195</v>
      </c>
      <c r="J21" s="11" t="s">
        <v>123</v>
      </c>
      <c r="K21" s="12"/>
      <c r="L21" s="12" t="s">
        <v>46</v>
      </c>
      <c r="M21" s="12"/>
      <c r="N21" s="12"/>
      <c r="O21" s="12" t="s">
        <v>26</v>
      </c>
    </row>
    <row r="22" customFormat="false" ht="91.5" hidden="false" customHeight="true" outlineLevel="0" collapsed="false">
      <c r="A22" s="10" t="s">
        <v>196</v>
      </c>
      <c r="B22" s="11" t="s">
        <v>182</v>
      </c>
      <c r="C22" s="11" t="s">
        <v>108</v>
      </c>
      <c r="D22" s="11" t="s">
        <v>197</v>
      </c>
      <c r="E22" s="11" t="s">
        <v>198</v>
      </c>
      <c r="F22" s="11" t="s">
        <v>199</v>
      </c>
      <c r="G22" s="11" t="s">
        <v>200</v>
      </c>
      <c r="H22" s="11" t="s">
        <v>201</v>
      </c>
      <c r="I22" s="11" t="s">
        <v>202</v>
      </c>
      <c r="J22" s="11" t="s">
        <v>115</v>
      </c>
      <c r="K22" s="12"/>
      <c r="L22" s="12" t="s">
        <v>46</v>
      </c>
      <c r="M22" s="12"/>
      <c r="N22" s="12"/>
      <c r="O22" s="12" t="s">
        <v>26</v>
      </c>
    </row>
    <row r="23" customFormat="false" ht="91.5" hidden="false" customHeight="true" outlineLevel="0" collapsed="false">
      <c r="A23" s="10" t="s">
        <v>203</v>
      </c>
      <c r="B23" s="11" t="s">
        <v>182</v>
      </c>
      <c r="C23" s="11" t="s">
        <v>108</v>
      </c>
      <c r="D23" s="11" t="s">
        <v>204</v>
      </c>
      <c r="E23" s="11" t="s">
        <v>205</v>
      </c>
      <c r="F23" s="11" t="s">
        <v>206</v>
      </c>
      <c r="G23" s="11" t="s">
        <v>207</v>
      </c>
      <c r="H23" s="11" t="s">
        <v>208</v>
      </c>
      <c r="I23" s="11" t="s">
        <v>209</v>
      </c>
      <c r="J23" s="11" t="s">
        <v>106</v>
      </c>
      <c r="K23" s="12"/>
      <c r="L23" s="12" t="s">
        <v>46</v>
      </c>
      <c r="M23" s="12"/>
      <c r="N23" s="12"/>
      <c r="O23" s="12" t="s">
        <v>26</v>
      </c>
    </row>
    <row r="24" customFormat="false" ht="91.5" hidden="false" customHeight="true" outlineLevel="0" collapsed="false">
      <c r="A24" s="10" t="s">
        <v>210</v>
      </c>
      <c r="B24" s="11" t="s">
        <v>182</v>
      </c>
      <c r="C24" s="11" t="s">
        <v>73</v>
      </c>
      <c r="D24" s="11" t="s">
        <v>211</v>
      </c>
      <c r="E24" s="11" t="s">
        <v>212</v>
      </c>
      <c r="F24" s="11" t="s">
        <v>213</v>
      </c>
      <c r="G24" s="11" t="s">
        <v>214</v>
      </c>
      <c r="H24" s="11" t="s">
        <v>215</v>
      </c>
      <c r="I24" s="11" t="s">
        <v>216</v>
      </c>
      <c r="J24" s="11" t="s">
        <v>217</v>
      </c>
      <c r="K24" s="12"/>
      <c r="L24" s="12" t="s">
        <v>46</v>
      </c>
      <c r="M24" s="12"/>
      <c r="N24" s="12"/>
      <c r="O24" s="12" t="s">
        <v>26</v>
      </c>
    </row>
    <row r="25" customFormat="false" ht="91.5" hidden="false" customHeight="true" outlineLevel="0" collapsed="false">
      <c r="A25" s="10" t="s">
        <v>218</v>
      </c>
      <c r="B25" s="11" t="s">
        <v>182</v>
      </c>
      <c r="C25" s="11" t="s">
        <v>108</v>
      </c>
      <c r="D25" s="11" t="s">
        <v>219</v>
      </c>
      <c r="E25" s="11" t="s">
        <v>220</v>
      </c>
      <c r="F25" s="11" t="s">
        <v>221</v>
      </c>
      <c r="G25" s="11" t="s">
        <v>222</v>
      </c>
      <c r="H25" s="11" t="s">
        <v>223</v>
      </c>
      <c r="I25" s="11" t="s">
        <v>224</v>
      </c>
      <c r="J25" s="11" t="s">
        <v>89</v>
      </c>
      <c r="K25" s="12" t="s">
        <v>225</v>
      </c>
      <c r="L25" s="12" t="s">
        <v>46</v>
      </c>
      <c r="M25" s="12"/>
      <c r="N25" s="12"/>
      <c r="O25" s="12" t="s">
        <v>26</v>
      </c>
    </row>
  </sheetData>
  <autoFilter ref="A1:O25"/>
  <conditionalFormatting sqref="L2:L25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"Skipped"</formula>
    </cfRule>
  </conditionalFormatting>
  <dataValidations count="1">
    <dataValidation allowBlank="false" errorStyle="stop" operator="between" showDropDown="false" showErrorMessage="false" showInputMessage="false" sqref="L2:L25" type="list">
      <formula1>"À exécuter,Pass,Fail,Blocked,Skipped"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</cols>
  <sheetData>
    <row r="1" customFormat="false" ht="19.5" hidden="false" customHeight="true" outlineLevel="0" collapsed="false">
      <c r="A1" s="2" t="s">
        <v>226</v>
      </c>
    </row>
    <row r="3" customFormat="false" ht="15" hidden="false" customHeight="true" outlineLevel="0" collapsed="false">
      <c r="A3" s="13" t="s">
        <v>227</v>
      </c>
      <c r="B3" s="13" t="n">
        <f aca="false">COUNTA('Cas de test'!A2:A25)</f>
        <v>24</v>
      </c>
    </row>
    <row r="4" customFormat="false" ht="15" hidden="false" customHeight="true" outlineLevel="0" collapsed="false">
      <c r="A4" s="14" t="s">
        <v>228</v>
      </c>
      <c r="B4" s="14" t="n">
        <f aca="false">COUNTIF('Cas de test'!L2:L25,"À exécuter")</f>
        <v>0</v>
      </c>
    </row>
    <row r="5" customFormat="false" ht="15" hidden="false" customHeight="true" outlineLevel="0" collapsed="false">
      <c r="A5" s="14" t="s">
        <v>229</v>
      </c>
      <c r="B5" s="14" t="n">
        <f aca="false">COUNTIF('Cas de test'!L2:L25,"Pass")</f>
        <v>0</v>
      </c>
    </row>
    <row r="6" customFormat="false" ht="15" hidden="false" customHeight="true" outlineLevel="0" collapsed="false">
      <c r="A6" s="14" t="s">
        <v>23</v>
      </c>
      <c r="B6" s="14" t="n">
        <f aca="false">COUNTIF('Cas de test'!L2:L25,"Fail")</f>
        <v>0</v>
      </c>
    </row>
    <row r="7" customFormat="false" ht="15" hidden="false" customHeight="true" outlineLevel="0" collapsed="false">
      <c r="A7" s="14" t="s">
        <v>230</v>
      </c>
      <c r="B7" s="14" t="n">
        <f aca="false">COUNTIF('Cas de test'!L2:L25,"Blocked")</f>
        <v>0</v>
      </c>
    </row>
    <row r="8" customFormat="false" ht="15" hidden="false" customHeight="true" outlineLevel="0" collapsed="false">
      <c r="A8" s="14" t="s">
        <v>46</v>
      </c>
      <c r="B8" s="14" t="n">
        <f aca="false">COUNTIF('Cas de test'!L2:L25,"Skipped")</f>
        <v>24</v>
      </c>
    </row>
    <row r="9" customFormat="false" ht="15" hidden="false" customHeight="true" outlineLevel="0" collapsed="false">
      <c r="A9" s="14" t="s">
        <v>231</v>
      </c>
      <c r="B9" s="14" t="n">
        <f aca="false">B5+B6</f>
        <v>0</v>
      </c>
    </row>
    <row r="10" customFormat="false" ht="15" hidden="false" customHeight="true" outlineLevel="0" collapsed="false">
      <c r="A10" s="14" t="s">
        <v>232</v>
      </c>
      <c r="B10" s="15" t="n">
        <f aca="false">IFERROR((B3-B4)/B3,0)</f>
        <v>1</v>
      </c>
    </row>
    <row r="11" customFormat="false" ht="15" hidden="false" customHeight="true" outlineLevel="0" collapsed="false">
      <c r="A11" s="14" t="s">
        <v>233</v>
      </c>
      <c r="B11" s="15" t="str">
        <f aca="false">IFERROR(B5/B9,"n/a")</f>
        <v>n/a</v>
      </c>
    </row>
    <row r="12" customFormat="false" ht="15" hidden="false" customHeight="true" outlineLevel="0" collapsed="false">
      <c r="A12" s="14" t="s">
        <v>234</v>
      </c>
      <c r="B12" s="14" t="str">
        <f aca="false">IF(B4+B5+B6+B7+B8=B3,"OK","ÉCART")</f>
        <v>OK</v>
      </c>
    </row>
    <row r="14" customFormat="false" ht="15" hidden="false" customHeight="true" outlineLevel="0" collapsed="false">
      <c r="A14" s="6" t="s">
        <v>235</v>
      </c>
    </row>
    <row r="15" customFormat="false" ht="15" hidden="false" customHeight="true" outlineLevel="0" collapsed="false">
      <c r="A15" s="16" t="s">
        <v>27</v>
      </c>
      <c r="B15" s="16" t="s">
        <v>236</v>
      </c>
      <c r="C15" s="16" t="s">
        <v>229</v>
      </c>
      <c r="D15" s="16" t="s">
        <v>23</v>
      </c>
      <c r="E15" s="16" t="s">
        <v>230</v>
      </c>
      <c r="F15" s="16" t="s">
        <v>46</v>
      </c>
    </row>
    <row r="16" customFormat="false" ht="15" hidden="false" customHeight="true" outlineLevel="0" collapsed="false">
      <c r="A16" s="14" t="s">
        <v>37</v>
      </c>
      <c r="B16" s="14" t="n">
        <f aca="false">COUNTIF('Cas de test'!B2:B25,A16)</f>
        <v>6</v>
      </c>
      <c r="C16" s="14" t="n">
        <f aca="false">COUNTIFS('Cas de test'!B2:B25,$A16,'Cas de test'!L2:L25,"Pass")</f>
        <v>0</v>
      </c>
      <c r="D16" s="14" t="n">
        <f aca="false">COUNTIFS('Cas de test'!B2:B25,$A16,'Cas de test'!L2:L25,"Fail")</f>
        <v>0</v>
      </c>
      <c r="E16" s="14" t="n">
        <f aca="false">COUNTIFS('Cas de test'!B2:B25,$A16,'Cas de test'!L2:L25,"Blocked")</f>
        <v>0</v>
      </c>
      <c r="F16" s="14" t="n">
        <f aca="false">COUNTIFS('Cas de test'!B2:B25,$A16,'Cas de test'!L2:L25,"Skipped")</f>
        <v>6</v>
      </c>
    </row>
    <row r="17" customFormat="false" ht="15" hidden="false" customHeight="true" outlineLevel="0" collapsed="false">
      <c r="A17" s="14" t="s">
        <v>91</v>
      </c>
      <c r="B17" s="14" t="n">
        <f aca="false">COUNTIF('Cas de test'!B2:B25,A17)</f>
        <v>6</v>
      </c>
      <c r="C17" s="14" t="n">
        <f aca="false">COUNTIFS('Cas de test'!B2:B25,$A17,'Cas de test'!L2:L25,"Pass")</f>
        <v>0</v>
      </c>
      <c r="D17" s="14" t="n">
        <f aca="false">COUNTIFS('Cas de test'!B2:B25,$A17,'Cas de test'!L2:L25,"Fail")</f>
        <v>0</v>
      </c>
      <c r="E17" s="14" t="n">
        <f aca="false">COUNTIFS('Cas de test'!B2:B25,$A17,'Cas de test'!L2:L25,"Blocked")</f>
        <v>0</v>
      </c>
      <c r="F17" s="14" t="n">
        <f aca="false">COUNTIFS('Cas de test'!B2:B25,$A17,'Cas de test'!L2:L25,"Skipped")</f>
        <v>6</v>
      </c>
    </row>
    <row r="18" customFormat="false" ht="15" hidden="false" customHeight="true" outlineLevel="0" collapsed="false">
      <c r="A18" s="14" t="s">
        <v>139</v>
      </c>
      <c r="B18" s="14" t="n">
        <f aca="false">COUNTIF('Cas de test'!B2:B25,A18)</f>
        <v>6</v>
      </c>
      <c r="C18" s="14" t="n">
        <f aca="false">COUNTIFS('Cas de test'!B2:B25,$A18,'Cas de test'!L2:L25,"Pass")</f>
        <v>0</v>
      </c>
      <c r="D18" s="14" t="n">
        <f aca="false">COUNTIFS('Cas de test'!B2:B25,$A18,'Cas de test'!L2:L25,"Fail")</f>
        <v>0</v>
      </c>
      <c r="E18" s="14" t="n">
        <f aca="false">COUNTIFS('Cas de test'!B2:B25,$A18,'Cas de test'!L2:L25,"Blocked")</f>
        <v>0</v>
      </c>
      <c r="F18" s="14" t="n">
        <f aca="false">COUNTIFS('Cas de test'!B2:B25,$A18,'Cas de test'!L2:L25,"Skipped")</f>
        <v>6</v>
      </c>
    </row>
    <row r="19" customFormat="false" ht="15" hidden="false" customHeight="true" outlineLevel="0" collapsed="false">
      <c r="A19" s="14" t="s">
        <v>182</v>
      </c>
      <c r="B19" s="14" t="n">
        <f aca="false">COUNTIF('Cas de test'!B2:B25,A19)</f>
        <v>6</v>
      </c>
      <c r="C19" s="14" t="n">
        <f aca="false">COUNTIFS('Cas de test'!B2:B25,$A19,'Cas de test'!L2:L25,"Pass")</f>
        <v>0</v>
      </c>
      <c r="D19" s="14" t="n">
        <f aca="false">COUNTIFS('Cas de test'!B2:B25,$A19,'Cas de test'!L2:L25,"Fail")</f>
        <v>0</v>
      </c>
      <c r="E19" s="14" t="n">
        <f aca="false">COUNTIFS('Cas de test'!B2:B25,$A19,'Cas de test'!L2:L25,"Blocked")</f>
        <v>0</v>
      </c>
      <c r="F19" s="14" t="n">
        <f aca="false">COUNTIFS('Cas de test'!B2:B25,$A19,'Cas de test'!L2:L25,"Skipped")</f>
        <v>6</v>
      </c>
    </row>
    <row r="20" customFormat="false" ht="15" hidden="false" customHeight="true" outlineLevel="0" collapsed="false">
      <c r="A20" s="4" t="s">
        <v>237</v>
      </c>
      <c r="B20" s="4" t="n">
        <f aca="false">SUM(B16:B19)</f>
        <v>24</v>
      </c>
      <c r="C20" s="4" t="n">
        <f aca="false">SUM(C16:C19)</f>
        <v>0</v>
      </c>
      <c r="D20" s="4" t="n">
        <f aca="false">SUM(D16:D19)</f>
        <v>0</v>
      </c>
      <c r="E20" s="4" t="n">
        <f aca="false">SUM(E16:E19)</f>
        <v>0</v>
      </c>
      <c r="F20" s="4" t="n">
        <f aca="false">SUM(F16:F19)</f>
        <v>24</v>
      </c>
    </row>
    <row r="22" customFormat="false" ht="15" hidden="false" customHeight="true" outlineLevel="0" collapsed="false">
      <c r="A22" s="6" t="s">
        <v>238</v>
      </c>
    </row>
    <row r="23" customFormat="false" ht="15" hidden="false" customHeight="true" outlineLevel="0" collapsed="false">
      <c r="A23" s="14" t="s">
        <v>239</v>
      </c>
      <c r="B23" s="17" t="n">
        <v>0</v>
      </c>
    </row>
    <row r="24" customFormat="false" ht="15" hidden="false" customHeight="true" outlineLevel="0" collapsed="false">
      <c r="A24" s="14" t="s">
        <v>240</v>
      </c>
      <c r="B24" s="17" t="n">
        <v>0</v>
      </c>
    </row>
    <row r="25" customFormat="false" ht="15" hidden="false" customHeight="true" outlineLevel="0" collapsed="false">
      <c r="A25" s="14" t="s">
        <v>241</v>
      </c>
      <c r="B25" s="17" t="n">
        <v>0</v>
      </c>
    </row>
    <row r="26" customFormat="false" ht="15" hidden="false" customHeight="true" outlineLevel="0" collapsed="false">
      <c r="A26" s="4" t="s">
        <v>242</v>
      </c>
      <c r="B26" s="4" t="str">
        <f aca="false">IF(B9=0,"AUCUN CAS EXÉCUTÉ",IF(B4&gt;0,"CAMPAGNE INCOMPLÈTE",IF(OR(B23&gt;0,B25=1),"NO-GO",IF(B24&gt;0,"GO SOUS CONDITIONS","GO"))))</f>
        <v>AUCUN CAS EXÉCUTÉ</v>
      </c>
    </row>
    <row r="28" customFormat="false" ht="39.75" hidden="false" customHeight="true" outlineLevel="0" collapsed="false">
      <c r="A28" s="18" t="s">
        <v>243</v>
      </c>
      <c r="B28" s="18"/>
      <c r="C28" s="18"/>
      <c r="D28" s="18"/>
      <c r="E28" s="18"/>
      <c r="F28" s="18"/>
    </row>
  </sheetData>
  <mergeCells count="1"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2026-10-12T20:13:40Z</dcterms:created>
  <dc:creator>openpyxl</dc:creator>
  <dc:description/>
  <dc:language>en-US</dc:language>
  <cp:lastModifiedBy/>
  <dcterms:modified xsi:type="dcterms:W3CDTF">2026-10-12T20:26:36Z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